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_NhapLieu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<sst xmlns="http://schemas.openxmlformats.org/spreadsheetml/2006/main" count="33" uniqueCount="31">
  <si>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Ngày</t>
  </si>
  <si>
    <t>Mã BN</t>
  </si>
  <si>
    <t>Tên Bệnh Nhân</t>
  </si>
  <si>
    <t>Loại Khách Hàng</t>
  </si>
  <si>
    <t>Nguồn Doanh Thu</t>
  </si>
  <si>
    <t>Phương Thức TT</t>
  </si>
  <si>
    <t>Số Tiền (₫)</t>
  </si>
  <si>
    <t>2026-06-26</t>
  </si>
  <si>
    <t>BN001</t>
  </si>
  <si>
    <t>Nguyen Van A</t>
  </si>
  <si>
    <t>Mới</t>
  </si>
  <si>
    <t>Consultation fees</t>
  </si>
  <si>
    <t>Cash</t>
  </si>
  <si>
    <t>BN002</t>
  </si>
  <si>
    <t>Tran Thi B</t>
  </si>
  <si>
    <t>Cũ</t>
  </si>
  <si>
    <t>Pharmacy sales</t>
  </si>
  <si>
    <t>Bank Transfer / Credit Card</t>
  </si>
  <si>
    <t>CLINIC DAILY REVENUE REPORT</t>
  </si>
  <si>
    <t>Ngày báo cáo (YYYY-MM-DD):</t>
  </si>
  <si>
    <t>💰 TOTAL ACTUAL REVENUE:</t>
  </si>
  <si>
    <t>📍 DETAILS BY REVENUE SOURCE (System):</t>
  </si>
  <si>
    <t>♦ Consultation fees:</t>
  </si>
  <si>
    <t>♦ Pharmacy sales:</t>
  </si>
  <si>
    <t>♦ Other revenue (Procedures/Tests):</t>
  </si>
  <si>
    <t>💳 DETAILS BY PAYMENT METHOD:</t>
  </si>
  <si>
    <t>▪ Cash:</t>
  </si>
  <si>
    <t>▪ Bank Transfer / Credit Card:</t>
  </si>
  <si>
    <t>👥 PATIENT STATISTICS:</t>
  </si>
  <si>
    <t>▪ Total Patients (Tổng số ca khám):</t>
  </si>
  <si>
    <t>▪ New Patients (Bệnh nhân mới):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</si>
</sst>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#,##0&quot; ₫&quot;"/>
    <numFmt numFmtId="178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rgb="FF1F4E78"/>
      <name val="Calibri"/>
      <charset val="134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4" fillId="0" borderId="0"/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177" fontId="4" fillId="0" borderId="0" xfId="2"/>
    <xf numFmtId="0" fontId="5" fillId="2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G6" sqref="G6"/>
    </sheetView>
  </sheetViews>
  <sheetFormatPr defaultColWidth="9" defaultRowHeight="14.4" outlineLevelRow="2" outlineLevelCol="6"/>
  <cols>
    <col min="1" max="6" width="20" customWidth="1"/>
    <col min="7" max="7" width="25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5">
        <v>200000</v>
      </c>
    </row>
    <row r="3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5">
        <v>150000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18"/>
  <sheetViews>
    <sheetView showGridLines="0" workbookViewId="0">
      <selection activeCell="A1" sqref="A1"/>
    </sheetView>
  </sheetViews>
  <sheetFormatPr defaultColWidth="9" defaultRowHeight="14.4" outlineLevelCol="4"/>
  <cols>
    <col min="2" max="2" width="10" customWidth="1"/>
    <col min="3" max="3" width="40" customWidth="1"/>
    <col min="4" max="4" width="20" customWidth="1"/>
    <col min="5" max="5" width="25" customWidth="1"/>
  </cols>
  <sheetData>
    <row r="2" ht="21" spans="3:5">
      <c r="C2" s="1" t="s">
        <v>18</v>
      </c>
    </row>
    <row r="3" spans="3:5">
      <c r="C3" s="2" t="s">
        <v>19</v>
      </c>
      <c r="D3" s="3" t="s">
        <v>7</v>
      </c>
    </row>
    <row r="5" ht="15.6" spans="3:5">
      <c r="C5" s="4" t="s">
        <v>20</v>
      </c>
      <c r="E5" s="5">
        <f>SUMIF(Data_NhapLieu!A:A,D3,Data_NhapLieu!G:G)</f>
        <v>350000</v>
      </c>
    </row>
    <row r="7" ht="15.6" spans="3:5">
      <c r="C7" s="4" t="s">
        <v>21</v>
      </c>
    </row>
    <row r="8" spans="3:5">
      <c r="C8" t="s">
        <v>22</v>
      </c>
      <c r="E8" s="5">
        <f>SUMIFS(Data_NhapLieu!G:G,Data_NhapLieu!A:A,D3,Data_NhapLieu!E:E,"Consultation fees")</f>
        <v>200000</v>
      </c>
    </row>
    <row r="9" spans="3:5">
      <c r="C9" t="s">
        <v>23</v>
      </c>
      <c r="E9" s="5">
        <f>SUMIFS(Data_NhapLieu!G:G,Data_NhapLieu!A:A,D3,Data_NhapLieu!E:E,"Pharmacy sales")</f>
        <v>150000</v>
      </c>
    </row>
    <row r="10" spans="3:5">
      <c r="C10" t="s">
        <v>24</v>
      </c>
      <c r="E10" s="5">
        <f>SUMIFS(Data_NhapLieu!G:G,Data_NhapLieu!A:A,D3,Data_NhapLieu!E:E,"Other revenue (Procedures/Tests)")</f>
        <v>0</v>
      </c>
    </row>
    <row r="12" ht="15.6" spans="3:5">
      <c r="C12" s="4" t="s">
        <v>25</v>
      </c>
    </row>
    <row r="13" spans="3:5">
      <c r="C13" t="s">
        <v>26</v>
      </c>
      <c r="E13" s="5">
        <f>SUMIFS(Data_NhapLieu!G:G,Data_NhapLieu!A:A,D3,Data_NhapLieu!F:F,"Cash")</f>
        <v>200000</v>
      </c>
    </row>
    <row r="14" spans="3:5">
      <c r="C14" t="s">
        <v>27</v>
      </c>
      <c r="E14" s="5">
        <f>SUMIFS(Data_NhapLieu!G:G,Data_NhapLieu!A:A,D3,Data_NhapLieu!F:F,"Bank Transfer / Credit Card")</f>
        <v>150000</v>
      </c>
    </row>
    <row r="16" ht="15.6" spans="3:5">
      <c r="C16" s="4" t="s">
        <v>28</v>
      </c>
    </row>
    <row r="17" spans="3:5">
      <c r="C17" t="s">
        <v>29</v>
      </c>
      <c r="E17">
        <f>COUNTIF(Data_NhapLieu!A:A,D3)</f>
        <v>2</v>
      </c>
    </row>
    <row r="18" spans="3:5">
      <c r="C18" t="s">
        <v>30</v>
      </c>
      <c r="E18">
        <f>COUNTIFS(Data_NhapLieu!A:A,D3,Data_NhapLieu!D:D,"Mới")</f>
        <v>1</v>
      </c>
    </row>
  </sheetData>
  <mergeCells count="1">
    <mergeCell ref="C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Data_NhapLieu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2026-06-26T15:43:00Z</dcterms:created>
  <dcterms:modified xsi:type="dcterms:W3CDTF">2026-06-26T16:34:08Z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8E034F2121A54DAAA76EB9E59974AC83_12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